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Dat" sheetId="1" state="visible" r:id="rId1"/>
    <sheet xmlns:r="http://schemas.openxmlformats.org/officeDocument/2006/relationships" name="HoaHong" sheetId="2" state="visible" r:id="rId2"/>
    <sheet xmlns:r="http://schemas.openxmlformats.org/officeDocument/2006/relationships" name="HuongDan" sheetId="3" state="visible" r:id="rId3"/>
  </sheets>
  <definedNames>
    <definedName name="_xlnm._FilterDatabase" localSheetId="0" hidden="1">'NhaDat'!$A$1:$H$11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 &quot;₫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9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nhSachNhaDat" displayName="DanhSachNhaDat" ref="A1:H11" headerRowCount="1">
  <autoFilter ref="A1:H11"/>
  <tableColumns count="8">
    <tableColumn id="1" name="MaBDS"/>
    <tableColumn id="2" name="TenBDS"/>
    <tableColumn id="3" name="LoaiGD"/>
    <tableColumn id="4" name="GiaThue"/>
    <tableColumn id="5" name="ChietKhau"/>
    <tableColumn id="6" name="GiaSauCK"/>
    <tableColumn id="7" name="TyLeHH"/>
    <tableColumn id="8" name="TienHH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BangHoaHong" displayName="BangHoaHong" ref="A1:B3" headerRowCount="1">
  <autoFilter ref="A1:B3"/>
  <tableColumns count="2">
    <tableColumn id="1" name="LoaiGD"/>
    <tableColumn id="2" name="TyLeHH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</cols>
  <sheetData>
    <row r="1" ht="32" customHeight="1">
      <c r="A1" s="1" t="inlineStr">
        <is>
          <t>MaBDS</t>
        </is>
      </c>
      <c r="B1" s="1" t="inlineStr">
        <is>
          <t>TenBDS</t>
        </is>
      </c>
      <c r="C1" s="1" t="inlineStr">
        <is>
          <t>LoaiGD</t>
        </is>
      </c>
      <c r="D1" s="1" t="inlineStr">
        <is>
          <t>GiaThue</t>
        </is>
      </c>
      <c r="E1" s="1" t="inlineStr">
        <is>
          <t>ChietKhau</t>
        </is>
      </c>
      <c r="F1" s="1" t="inlineStr">
        <is>
          <t>GiaSauCK</t>
        </is>
      </c>
      <c r="G1" s="1" t="inlineStr">
        <is>
          <t>TyLeHH</t>
        </is>
      </c>
      <c r="H1" s="1" t="inlineStr">
        <is>
          <t>TienHH</t>
        </is>
      </c>
    </row>
    <row r="2">
      <c r="A2" s="2" t="inlineStr">
        <is>
          <t>B001</t>
        </is>
      </c>
      <c r="B2" s="2" t="inlineStr">
        <is>
          <t>Can ho A</t>
        </is>
      </c>
      <c r="C2" s="2" t="inlineStr">
        <is>
          <t>Thue</t>
        </is>
      </c>
      <c r="D2" s="3" t="n">
        <v>8000000</v>
      </c>
      <c r="E2" s="4" t="n">
        <v>0.1</v>
      </c>
      <c r="F2" s="5">
        <f>D2*(1-E2)</f>
        <v/>
      </c>
      <c r="G2" s="6">
        <f>IFERROR(VLOOKUP(C2,HoaHong!$A$2:$B$3,2,FALSE),0)</f>
        <v/>
      </c>
      <c r="H2" s="5">
        <f>F2*G2</f>
        <v/>
      </c>
    </row>
    <row r="3">
      <c r="A3" s="2" t="inlineStr">
        <is>
          <t>B002</t>
        </is>
      </c>
      <c r="B3" s="2" t="inlineStr">
        <is>
          <t>Can ho B</t>
        </is>
      </c>
      <c r="C3" s="2" t="inlineStr">
        <is>
          <t>Thue</t>
        </is>
      </c>
      <c r="D3" s="3" t="n">
        <v>12000000</v>
      </c>
      <c r="E3" s="4" t="n">
        <v>0.05</v>
      </c>
      <c r="F3" s="5">
        <f>D3*(1-E3)</f>
        <v/>
      </c>
      <c r="G3" s="6">
        <f>IFERROR(VLOOKUP(C3,HoaHong!$A$2:$B$3,2,FALSE),0)</f>
        <v/>
      </c>
      <c r="H3" s="5">
        <f>F3*G3</f>
        <v/>
      </c>
    </row>
    <row r="4">
      <c r="A4" s="2" t="inlineStr">
        <is>
          <t>B003</t>
        </is>
      </c>
      <c r="B4" s="2" t="inlineStr">
        <is>
          <t>Nha pho C</t>
        </is>
      </c>
      <c r="C4" s="2" t="inlineStr">
        <is>
          <t>Thue</t>
        </is>
      </c>
      <c r="D4" s="3" t="n">
        <v>15000000</v>
      </c>
      <c r="E4" s="4" t="n">
        <v>0.08</v>
      </c>
      <c r="F4" s="5">
        <f>D4*(1-E4)</f>
        <v/>
      </c>
      <c r="G4" s="6">
        <f>IFERROR(VLOOKUP(C4,HoaHong!$A$2:$B$3,2,FALSE),0)</f>
        <v/>
      </c>
      <c r="H4" s="5">
        <f>F4*G4</f>
        <v/>
      </c>
    </row>
    <row r="5">
      <c r="A5" s="2" t="inlineStr">
        <is>
          <t>B004</t>
        </is>
      </c>
      <c r="B5" s="2" t="inlineStr">
        <is>
          <t>Can ho D</t>
        </is>
      </c>
      <c r="C5" s="2" t="inlineStr">
        <is>
          <t>Thue</t>
        </is>
      </c>
      <c r="D5" s="3" t="n">
        <v>10000000</v>
      </c>
      <c r="E5" s="4" t="n">
        <v>0</v>
      </c>
      <c r="F5" s="5">
        <f>D5*(1-E5)</f>
        <v/>
      </c>
      <c r="G5" s="6">
        <f>IFERROR(VLOOKUP(C5,HoaHong!$A$2:$B$3,2,FALSE),0)</f>
        <v/>
      </c>
      <c r="H5" s="5">
        <f>F5*G5</f>
        <v/>
      </c>
    </row>
    <row r="6">
      <c r="A6" s="2" t="inlineStr">
        <is>
          <t>B005</t>
        </is>
      </c>
      <c r="B6" s="2" t="inlineStr">
        <is>
          <t>Nha pho E</t>
        </is>
      </c>
      <c r="C6" s="2" t="inlineStr">
        <is>
          <t>Thue</t>
        </is>
      </c>
      <c r="D6" s="3" t="n">
        <v>20000000</v>
      </c>
      <c r="E6" s="4" t="n">
        <v>0.1</v>
      </c>
      <c r="F6" s="5">
        <f>D6*(1-E6)</f>
        <v/>
      </c>
      <c r="G6" s="6">
        <f>IFERROR(VLOOKUP(C6,HoaHong!$A$2:$B$3,2,FALSE),0)</f>
        <v/>
      </c>
      <c r="H6" s="5">
        <f>F6*G6</f>
        <v/>
      </c>
    </row>
    <row r="7">
      <c r="A7" s="2" t="inlineStr">
        <is>
          <t>B006</t>
        </is>
      </c>
      <c r="B7" s="2" t="inlineStr">
        <is>
          <t>Nha pho F</t>
        </is>
      </c>
      <c r="C7" s="2" t="inlineStr">
        <is>
          <t>Ban</t>
        </is>
      </c>
      <c r="D7" s="3" t="n">
        <v>2500000000</v>
      </c>
      <c r="E7" s="4" t="n">
        <v>0.03</v>
      </c>
      <c r="F7" s="5">
        <f>D7*(1-E7)</f>
        <v/>
      </c>
      <c r="G7" s="6">
        <f>IFERROR(VLOOKUP(C7,HoaHong!$A$2:$B$3,2,FALSE),0)</f>
        <v/>
      </c>
      <c r="H7" s="5">
        <f>F7*G7</f>
        <v/>
      </c>
    </row>
    <row r="8">
      <c r="A8" s="2" t="inlineStr">
        <is>
          <t>B007</t>
        </is>
      </c>
      <c r="B8" s="2" t="inlineStr">
        <is>
          <t>Can ho G</t>
        </is>
      </c>
      <c r="C8" s="2" t="inlineStr">
        <is>
          <t>Ban</t>
        </is>
      </c>
      <c r="D8" s="3" t="n">
        <v>1800000000</v>
      </c>
      <c r="E8" s="4" t="n">
        <v>0.02</v>
      </c>
      <c r="F8" s="5">
        <f>D8*(1-E8)</f>
        <v/>
      </c>
      <c r="G8" s="6">
        <f>IFERROR(VLOOKUP(C8,HoaHong!$A$2:$B$3,2,FALSE),0)</f>
        <v/>
      </c>
      <c r="H8" s="5">
        <f>F8*G8</f>
        <v/>
      </c>
    </row>
    <row r="9">
      <c r="A9" s="2" t="inlineStr">
        <is>
          <t>B008</t>
        </is>
      </c>
      <c r="B9" s="2" t="inlineStr">
        <is>
          <t>Can ho H</t>
        </is>
      </c>
      <c r="C9" s="2" t="inlineStr">
        <is>
          <t>Thue</t>
        </is>
      </c>
      <c r="D9" s="3" t="n">
        <v>9500000</v>
      </c>
      <c r="E9" s="4" t="n">
        <v>0.05</v>
      </c>
      <c r="F9" s="5">
        <f>D9*(1-E9)</f>
        <v/>
      </c>
      <c r="G9" s="6">
        <f>IFERROR(VLOOKUP(C9,HoaHong!$A$2:$B$3,2,FALSE),0)</f>
        <v/>
      </c>
      <c r="H9" s="5">
        <f>F9*G9</f>
        <v/>
      </c>
    </row>
    <row r="10">
      <c r="A10" s="2" t="inlineStr">
        <is>
          <t>B009</t>
        </is>
      </c>
      <c r="B10" s="2" t="inlineStr">
        <is>
          <t>Nha pho I</t>
        </is>
      </c>
      <c r="C10" s="2" t="inlineStr">
        <is>
          <t>Thue</t>
        </is>
      </c>
      <c r="D10" s="3" t="n">
        <v>16000000</v>
      </c>
      <c r="E10" s="4" t="n">
        <v>0.07000000000000001</v>
      </c>
      <c r="F10" s="5">
        <f>D10*(1-E10)</f>
        <v/>
      </c>
      <c r="G10" s="6">
        <f>IFERROR(VLOOKUP(C10,HoaHong!$A$2:$B$3,2,FALSE),0)</f>
        <v/>
      </c>
      <c r="H10" s="5">
        <f>F10*G10</f>
        <v/>
      </c>
    </row>
    <row r="11">
      <c r="A11" s="2" t="inlineStr">
        <is>
          <t>B010</t>
        </is>
      </c>
      <c r="B11" s="2" t="inlineStr">
        <is>
          <t>Can ho K</t>
        </is>
      </c>
      <c r="C11" s="2" t="inlineStr">
        <is>
          <t>Ban</t>
        </is>
      </c>
      <c r="D11" s="3" t="n">
        <v>2200000000</v>
      </c>
      <c r="E11" s="4" t="n">
        <v>0.04</v>
      </c>
      <c r="F11" s="5">
        <f>D11*(1-E11)</f>
        <v/>
      </c>
      <c r="G11" s="6">
        <f>IFERROR(VLOOKUP(C11,HoaHong!$A$2:$B$3,2,FALSE),0)</f>
        <v/>
      </c>
      <c r="H11" s="5">
        <f>F11*G11</f>
        <v/>
      </c>
    </row>
  </sheetData>
  <autoFilter ref="A1:H11"/>
  <conditionalFormatting sqref="H2:H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7" t="inlineStr">
        <is>
          <t>LoaiGD</t>
        </is>
      </c>
      <c r="B1" s="7" t="inlineStr">
        <is>
          <t>TyLeHH</t>
        </is>
      </c>
    </row>
    <row r="2">
      <c r="A2" t="inlineStr">
        <is>
          <t>Thue</t>
        </is>
      </c>
      <c r="B2" s="8" t="n">
        <v>0.05</v>
      </c>
    </row>
    <row r="3">
      <c r="A3" t="inlineStr">
        <is>
          <t>Ban</t>
        </is>
      </c>
      <c r="B3" s="8" t="n">
        <v>0.02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9" t="inlineStr">
        <is>
          <t>HƯỚNG DẪN SỬ DỤNG FILE SMART-HOME</t>
        </is>
      </c>
    </row>
    <row r="2" ht="38" customHeight="1">
      <c r="A2" s="10" t="inlineStr">
        <is>
          <t>1. Sheet NhaDat</t>
        </is>
      </c>
      <c r="B2" s="11" t="inlineStr">
        <is>
          <t>Danh sách nhà đất; mỗi dòng là một bản ghi, mỗi cột là một trường dữ liệu. Không gộp ô trong vùng dữ liệu.</t>
        </is>
      </c>
    </row>
    <row r="3" ht="38" customHeight="1">
      <c r="A3" s="10" t="inlineStr">
        <is>
          <t>2. Sheet HoaHong</t>
        </is>
      </c>
      <c r="B3" s="11" t="inlineStr">
        <is>
          <t>Bảng tỷ lệ hoa hồng dùng để tra cứu theo LoaiGD: Thue = 5%, Ban = 2%.</t>
        </is>
      </c>
    </row>
    <row r="4" ht="38" customHeight="1">
      <c r="A4" s="10" t="inlineStr">
        <is>
          <t>3. Công thức giá sau chiết khấu</t>
        </is>
      </c>
      <c r="B4" s="11">
        <f>GiaThue*(1-ChietKhau). Ví dụ ô F2: =D2*(1-E2)</f>
        <v/>
      </c>
    </row>
    <row r="5" ht="38" customHeight="1">
      <c r="A5" s="10" t="inlineStr">
        <is>
          <t>4. Công thức tra cứu hoa hồng</t>
        </is>
      </c>
      <c r="B5" s="11" t="inlineStr">
        <is>
          <t>Ví dụ ô G2: =IFERROR(VLOOKUP(C2,HoaHong!$A$2:$B$3,2,FALSE),0)</t>
        </is>
      </c>
    </row>
    <row r="6" ht="38" customHeight="1">
      <c r="A6" s="10" t="inlineStr">
        <is>
          <t>5. Công thức tiền hoa hồng</t>
        </is>
      </c>
      <c r="B6" s="11" t="inlineStr">
        <is>
          <t>Ví dụ ô H2: =F2*G2</t>
        </is>
      </c>
    </row>
    <row r="7" ht="38" customHeight="1">
      <c r="A7" s="10" t="inlineStr">
        <is>
          <t>6. Dấu $</t>
        </is>
      </c>
      <c r="B7" s="11" t="inlineStr">
        <is>
          <t>HoaHong!$A$2:$B$3 cố định vùng tra cứu khi kéo công thức xuống. C2 vẫn thay đổi theo từng dòng.</t>
        </is>
      </c>
    </row>
    <row r="8" ht="38" customHeight="1">
      <c r="A8" s="10" t="inlineStr">
        <is>
          <t>7. Lọc dữ liệu</t>
        </is>
      </c>
      <c r="B8" s="11" t="inlineStr">
        <is>
          <t>Dùng nút lọc trên hàng tiêu đề để lọc theo LoaiGD, giá thuê hoặc tỷ lệ hoa hồng.</t>
        </is>
      </c>
    </row>
    <row r="9" ht="38" customHeight="1">
      <c r="A9" s="10" t="inlineStr">
        <is>
          <t>8. Lưu ý</t>
        </is>
      </c>
      <c r="B9" s="11" t="inlineStr">
        <is>
          <t>Dữ liệu và mức hoa hồng trong file là dữ liệu minh họa cho bài tập; hãy thay bằng số liệu được giao nếu cần.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2026-10-26T16:06:12Z</dcterms:created>
  <dcterms:modified xmlns:dcterms="http://purl.org/dc/terms/" xmlns:xsi="http://www.w3.org/2001/XMLSchema-instance" xsi:type="dcterms:W3CDTF">2026-10-26T16:06:12Z</dcterms:modified>
</cp:coreProperties>
</file>